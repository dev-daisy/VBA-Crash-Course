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.rota\Downloads\VBA Crash Course\"/>
    </mc:Choice>
  </mc:AlternateContent>
  <xr:revisionPtr revIDLastSave="0" documentId="13_ncr:1_{6E7E7C10-BFBA-4FC4-943D-92C99DD8B641}" xr6:coauthVersionLast="47" xr6:coauthVersionMax="47" xr10:uidLastSave="{00000000-0000-0000-0000-000000000000}"/>
  <bookViews>
    <workbookView xWindow="-108" yWindow="-108" windowWidth="23256" windowHeight="13176" xr2:uid="{C886570A-1142-472E-859B-7DE5BC2395C2}"/>
  </bookViews>
  <sheets>
    <sheet name="Sheet1" sheetId="1" r:id="rId1"/>
    <sheet name="Vaccine Lists" sheetId="9" r:id="rId2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9" i="9" l="1"/>
  <c r="E2" i="9"/>
  <c r="F2" i="9" s="1"/>
  <c r="E3" i="9"/>
  <c r="F3" i="9" s="1"/>
  <c r="E4" i="9"/>
  <c r="F4" i="9" s="1"/>
  <c r="E5" i="9"/>
  <c r="F5" i="9" s="1"/>
  <c r="E6" i="9"/>
  <c r="F6" i="9" s="1"/>
  <c r="E7" i="9"/>
  <c r="F7" i="9" s="1"/>
  <c r="E8" i="9"/>
  <c r="F8" i="9" s="1"/>
  <c r="E9" i="9"/>
  <c r="E10" i="9"/>
  <c r="F10" i="9" s="1"/>
  <c r="E11" i="9"/>
  <c r="F11" i="9" s="1"/>
  <c r="D2" i="9"/>
  <c r="D3" i="9"/>
  <c r="D4" i="9"/>
  <c r="D5" i="9"/>
  <c r="D6" i="9"/>
  <c r="D7" i="9"/>
  <c r="D8" i="9"/>
  <c r="D9" i="9"/>
  <c r="D10" i="9"/>
  <c r="D11" i="9"/>
  <c r="C2" i="9"/>
  <c r="C3" i="9"/>
  <c r="C4" i="9"/>
  <c r="C5" i="9"/>
  <c r="C6" i="9"/>
  <c r="C7" i="9"/>
  <c r="C8" i="9"/>
  <c r="C9" i="9"/>
  <c r="C10" i="9"/>
  <c r="C11" i="9"/>
  <c r="B2" i="9"/>
  <c r="B3" i="9"/>
  <c r="B4" i="9"/>
  <c r="B5" i="9"/>
  <c r="B6" i="9"/>
  <c r="B7" i="9"/>
  <c r="B8" i="9"/>
  <c r="B9" i="9"/>
  <c r="B10" i="9"/>
  <c r="B11" i="9"/>
  <c r="A2" i="9"/>
  <c r="A3" i="9"/>
  <c r="A4" i="9"/>
  <c r="A5" i="9"/>
  <c r="A6" i="9"/>
  <c r="A7" i="9"/>
  <c r="A8" i="9"/>
  <c r="A9" i="9"/>
  <c r="A10" i="9"/>
  <c r="A11" i="9"/>
</calcChain>
</file>

<file path=xl/sharedStrings.xml><?xml version="1.0" encoding="utf-8"?>
<sst xmlns="http://schemas.openxmlformats.org/spreadsheetml/2006/main" count="48" uniqueCount="48">
  <si>
    <t>Last Name</t>
  </si>
  <si>
    <t>First Name</t>
  </si>
  <si>
    <t>Contact Number</t>
  </si>
  <si>
    <t>Birthday</t>
  </si>
  <si>
    <t>Villarino</t>
  </si>
  <si>
    <t>Evan</t>
  </si>
  <si>
    <t>09686970912</t>
  </si>
  <si>
    <t>Tumulak</t>
  </si>
  <si>
    <t>Randy</t>
  </si>
  <si>
    <t>09454094948</t>
  </si>
  <si>
    <t>Chio</t>
  </si>
  <si>
    <t>Fabian</t>
  </si>
  <si>
    <t>Magsino</t>
  </si>
  <si>
    <t>Collin</t>
  </si>
  <si>
    <t>09584649978</t>
  </si>
  <si>
    <t>Cuenco</t>
  </si>
  <si>
    <t>Alexandro</t>
  </si>
  <si>
    <t>Sibug</t>
  </si>
  <si>
    <t>Sabana</t>
  </si>
  <si>
    <t>Legaspí</t>
  </si>
  <si>
    <t>Brigida</t>
  </si>
  <si>
    <t>09481818769</t>
  </si>
  <si>
    <t>Bontia</t>
  </si>
  <si>
    <t>Allyson</t>
  </si>
  <si>
    <t>09312665607</t>
  </si>
  <si>
    <t>Rosales</t>
  </si>
  <si>
    <t>Veronica</t>
  </si>
  <si>
    <t>Cantillo</t>
  </si>
  <si>
    <t>Diane</t>
  </si>
  <si>
    <t>09910326102</t>
  </si>
  <si>
    <t>    https://fujitsu-my.sharepoint.com/:x:/p/ferdinand_baguyo/ETDp3bquMHVNm0PU76DtjXMBdwCTYM-2T7WHhCvPx4cG9Q?e=xa4ZYT</t>
  </si>
  <si>
    <t>Planning:</t>
  </si>
  <si>
    <t>1. Create New Sheet</t>
  </si>
  <si>
    <t>No</t>
  </si>
  <si>
    <t>Full Name</t>
  </si>
  <si>
    <t>Mobile Number</t>
  </si>
  <si>
    <t>Landline Number</t>
  </si>
  <si>
    <t>Age</t>
  </si>
  <si>
    <t>For Vacination</t>
  </si>
  <si>
    <t>2. Insert Table Headers (No, Full Name, Mobile Number, Landline Number, Age, For Vaccination) with AutoFit</t>
  </si>
  <si>
    <t>7. Get Age by subtracting year today from the Birthday Column of sheet1</t>
  </si>
  <si>
    <t>8. Get Vaccination Status depends on the age (12yrs old below are "Not Allowed", while above 12yrs old are "Allowed")</t>
  </si>
  <si>
    <t>9. Format the Table Style = "TableStyleMedium13"</t>
  </si>
  <si>
    <t>10. Create a MasterProcedure to run all the created procedure</t>
  </si>
  <si>
    <t>4. Get Full Name from Sheet1 by concatenating Last Name and First Name (format: Last Name, First Name)</t>
  </si>
  <si>
    <t>3. Add row count in No Column using autofill</t>
  </si>
  <si>
    <t>5. Get Mobile Number from Sheet1 of Column Contact Number where length is 11 digits</t>
  </si>
  <si>
    <t>6. Get Landline Number from Sheet1 of Column Contact Number where length is 8 digits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</si>
</sst>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6">
    <xf numFmtId="0" fontId="0" fillId="0" borderId="0" xfId="0"/>
    <xf numFmtId="49" fontId="0" fillId="0" borderId="0" xfId="0" applyNumberFormat="1"/>
    <xf numFmtId="14" fontId="0" fillId="0" borderId="0" xfId="0" applyNumberFormat="1"/>
    <xf numFmtId="0" fontId="2" fillId="0" borderId="0" xfId="1"/>
    <xf numFmtId="0" fontId="1" fillId="0" borderId="0" xfId="0" applyFont="1"/>
    <xf numFmtId="1" fontId="1" fillId="0" borderId="0" xfId="0" applyNumberFormat="1" applyFont="1"/>
  </cellXfs>
  <cellStyles count="2">
    <cellStyle name="Hyperlink" xfId="1" builtinId="8"/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137</xdr:colOff>
      <xdr:row>0</xdr:row>
      <xdr:rowOff>161925</xdr:rowOff>
    </xdr:from>
    <xdr:to>
      <xdr:col>19</xdr:col>
      <xdr:colOff>237221</xdr:colOff>
      <xdr:row>16</xdr:row>
      <xdr:rowOff>172892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D984673B-8D78-0144-0976-34F73C2F34D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8237" y="161925"/>
          <a:ext cx="5721579" cy="2902757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36195</xdr:colOff>
      <xdr:row>20</xdr:row>
      <xdr:rowOff>7620</xdr:rowOff>
    </xdr:from>
    <xdr:to>
      <xdr:col>22</xdr:col>
      <xdr:colOff>16233</xdr:colOff>
      <xdr:row>39</xdr:row>
      <xdr:rowOff>68139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7FE58AD-CB37-D8F0-1EF7-6F526537DE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694295" y="3627120"/>
          <a:ext cx="7299048" cy="3500949"/>
        </a:xfrm>
        <a:prstGeom prst="rect">
          <a:avLst/>
        </a:prstGeom>
      </xdr:spPr>
    </xdr:pic>
    <xdr:clientData/>
  </xdr:twoCellAnchor>
  <xdr:twoCellAnchor>
    <xdr:from>
      <xdr:col>1</xdr:col>
      <xdr:colOff>3809</xdr:colOff>
      <xdr:row>11</xdr:row>
      <xdr:rowOff>74296</xdr:rowOff>
    </xdr:from>
    <xdr:to>
      <xdr:col>3</xdr:col>
      <xdr:colOff>97154</xdr:colOff>
      <xdr:row>12</xdr:row>
      <xdr:rowOff>158115</xdr:rowOff>
    </xdr:to>
    <xdr:sp macro="[0]!GenerateVaccinationList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B29A41BD-D171-CD1F-4980-90B8A8CE580A}"/>
            </a:ext>
          </a:extLst>
        </xdr:cNvPr>
        <xdr:cNvSpPr/>
      </xdr:nvSpPr>
      <xdr:spPr>
        <a:xfrm>
          <a:off x="651509" y="2065021"/>
          <a:ext cx="1779270" cy="264794"/>
        </a:xfrm>
        <a:prstGeom prst="flowChartAlternateProcess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Generate Vaccination Lists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2FFFA44-462F-46CF-80B5-487A145AB8F9}" name="Table2" displayName="Table2" ref="A1:F11" totalsRowShown="0" headerRowDxfId="0">
  <autoFilter ref="A1:F11" xr:uid="{B2FFFA44-462F-46CF-80B5-487A145AB8F9}"/>
  <tableColumns count="6">
    <tableColumn id="1" xr3:uid="{A705DD91-8A9F-40F3-8FAE-3D90A1F2AD4E}" name="No">
      <calculatedColumnFormula>ROW()-1</calculatedColumnFormula>
    </tableColumn>
    <tableColumn id="2" xr3:uid="{425A380B-A337-46E3-BCAC-3734083B35D4}" name="Full Name">
      <calculatedColumnFormula>_xlfn.CONCAT(Sheet1!A2,", ",Sheet1!B2)</calculatedColumnFormula>
    </tableColumn>
    <tableColumn id="3" xr3:uid="{AF806318-8F93-477B-826A-F4E975871C1D}" name="Mobile Number">
      <calculatedColumnFormula>IF(LEN(Sheet1!C2)=11,Sheet1!C2,"")</calculatedColumnFormula>
    </tableColumn>
    <tableColumn id="4" xr3:uid="{D68B2A37-9E58-4DD4-A5B6-8E73E9634D09}" name="Landline Number">
      <calculatedColumnFormula>IF(LEN(Sheet1!C2)=8,Sheet1!C2,"")</calculatedColumnFormula>
    </tableColumn>
    <tableColumn id="5" xr3:uid="{1954F5AE-9FCD-491B-99A2-2C4191FD3853}" name="Age">
      <calculatedColumnFormula>YEAR(TODAY())-YEAR(Sheet1!D2)</calculatedColumnFormula>
    </tableColumn>
    <tableColumn id="6" xr3:uid="{6B64DAA1-0137-4046-9118-91E16A9E4700}" name="For Vacination">
      <calculatedColumnFormula>IF(E2&lt;=12,"Not Allowed","Allowed")</calculatedColumnFormula>
    </tableColumn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fujitsu-my.sharepoint.com/:x:/p/ferdinand_baguyo/ETDp3bquMHVNm0PU76DtjXMBdwCTYM-2T7WHhCvPx4cG9Q?e=xa4ZYT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5DF316-BCBE-4739-AD6F-BB7F430DB418}">
  <sheetPr codeName="Sheet1"/>
  <dimension ref="A1:K30"/>
  <sheetViews>
    <sheetView tabSelected="1" workbookViewId="0">
      <selection activeCell="A19" sqref="A19"/>
    </sheetView>
  </sheetViews>
  <sheetFormatPr defaultRowHeight="14.4" x14ac:dyDescent="0.3"/>
  <cols>
    <col min="1" max="1" width="9.44140625" bestFit="1" customWidth="1"/>
    <col min="2" max="2" width="9.6640625" bestFit="1" customWidth="1"/>
    <col min="3" max="3" width="14.88671875" customWidth="1"/>
    <col min="4" max="4" width="10.44140625" bestFit="1" customWidth="1"/>
    <col min="5" max="5" width="13.5546875" bestFit="1" customWidth="1"/>
    <col min="7" max="7" width="10.44140625" bestFit="1" customWidth="1"/>
    <col min="8" max="8" width="10.44140625" customWidth="1"/>
    <col min="9" max="10" width="11.88671875" bestFit="1" customWidth="1"/>
  </cols>
  <sheetData>
    <row r="1" spans="1:4" x14ac:dyDescent="0.3">
      <c r="A1" t="s">
        <v>0</v>
      </c>
      <c r="B1" t="s">
        <v>1</v>
      </c>
      <c r="C1" t="s">
        <v>2</v>
      </c>
      <c r="D1" t="s">
        <v>3</v>
      </c>
    </row>
    <row r="2" spans="1:4" x14ac:dyDescent="0.3">
      <c r="A2" t="s">
        <v>4</v>
      </c>
      <c r="B2" t="s">
        <v>5</v>
      </c>
      <c r="C2" s="1" t="s">
        <v>6</v>
      </c>
      <c r="D2" s="2">
        <v>31356</v>
      </c>
    </row>
    <row r="3" spans="1:4" x14ac:dyDescent="0.3">
      <c r="A3" t="s">
        <v>7</v>
      </c>
      <c r="B3" t="s">
        <v>8</v>
      </c>
      <c r="C3" s="1" t="s">
        <v>9</v>
      </c>
      <c r="D3" s="2">
        <v>37397</v>
      </c>
    </row>
    <row r="4" spans="1:4" x14ac:dyDescent="0.3">
      <c r="A4" t="s">
        <v>10</v>
      </c>
      <c r="B4" t="s">
        <v>11</v>
      </c>
      <c r="C4" s="1">
        <v>88443339</v>
      </c>
      <c r="D4" s="2">
        <v>40238</v>
      </c>
    </row>
    <row r="5" spans="1:4" x14ac:dyDescent="0.3">
      <c r="A5" t="s">
        <v>12</v>
      </c>
      <c r="B5" t="s">
        <v>13</v>
      </c>
      <c r="C5" s="1" t="s">
        <v>14</v>
      </c>
      <c r="D5" s="2">
        <v>41051</v>
      </c>
    </row>
    <row r="6" spans="1:4" x14ac:dyDescent="0.3">
      <c r="A6" t="s">
        <v>15</v>
      </c>
      <c r="B6" t="s">
        <v>16</v>
      </c>
      <c r="C6" s="1">
        <v>85489018</v>
      </c>
      <c r="D6" s="2">
        <v>41519</v>
      </c>
    </row>
    <row r="7" spans="1:4" x14ac:dyDescent="0.3">
      <c r="A7" t="s">
        <v>17</v>
      </c>
      <c r="B7" t="s">
        <v>18</v>
      </c>
      <c r="C7" s="1">
        <v>85597716</v>
      </c>
      <c r="D7" s="2">
        <v>32309</v>
      </c>
    </row>
    <row r="8" spans="1:4" x14ac:dyDescent="0.3">
      <c r="A8" t="s">
        <v>19</v>
      </c>
      <c r="B8" t="s">
        <v>20</v>
      </c>
      <c r="C8" s="1" t="s">
        <v>21</v>
      </c>
      <c r="D8" s="2">
        <v>40494</v>
      </c>
    </row>
    <row r="9" spans="1:4" x14ac:dyDescent="0.3">
      <c r="A9" t="s">
        <v>22</v>
      </c>
      <c r="B9" t="s">
        <v>23</v>
      </c>
      <c r="C9" s="1" t="s">
        <v>24</v>
      </c>
      <c r="D9" s="2">
        <v>37521</v>
      </c>
    </row>
    <row r="10" spans="1:4" x14ac:dyDescent="0.3">
      <c r="A10" t="s">
        <v>25</v>
      </c>
      <c r="B10" t="s">
        <v>26</v>
      </c>
      <c r="C10" s="1">
        <v>86491824</v>
      </c>
      <c r="D10" s="2">
        <v>29610</v>
      </c>
    </row>
    <row r="11" spans="1:4" x14ac:dyDescent="0.3">
      <c r="A11" t="s">
        <v>27</v>
      </c>
      <c r="B11" t="s">
        <v>28</v>
      </c>
      <c r="C11" s="1" t="s">
        <v>29</v>
      </c>
      <c r="D11" s="2">
        <v>36149</v>
      </c>
    </row>
    <row r="19" spans="1:11" x14ac:dyDescent="0.3">
      <c r="K19" s="3" t="s">
        <v>30</v>
      </c>
    </row>
    <row r="20" spans="1:11" x14ac:dyDescent="0.3">
      <c r="A20" s="4" t="s">
        <v>31</v>
      </c>
    </row>
    <row r="21" spans="1:11" x14ac:dyDescent="0.3">
      <c r="A21" t="s">
        <v>32</v>
      </c>
    </row>
    <row r="22" spans="1:11" x14ac:dyDescent="0.3">
      <c r="A22" t="s">
        <v>39</v>
      </c>
    </row>
    <row r="23" spans="1:11" x14ac:dyDescent="0.3">
      <c r="A23" t="s">
        <v>45</v>
      </c>
    </row>
    <row r="24" spans="1:11" x14ac:dyDescent="0.3">
      <c r="A24" t="s">
        <v>44</v>
      </c>
    </row>
    <row r="25" spans="1:11" x14ac:dyDescent="0.3">
      <c r="A25" t="s">
        <v>46</v>
      </c>
    </row>
    <row r="26" spans="1:11" x14ac:dyDescent="0.3">
      <c r="A26" t="s">
        <v>47</v>
      </c>
    </row>
    <row r="27" spans="1:11" x14ac:dyDescent="0.3">
      <c r="A27" t="s">
        <v>40</v>
      </c>
    </row>
    <row r="28" spans="1:11" x14ac:dyDescent="0.3">
      <c r="A28" t="s">
        <v>41</v>
      </c>
    </row>
    <row r="29" spans="1:11" x14ac:dyDescent="0.3">
      <c r="A29" t="s">
        <v>42</v>
      </c>
    </row>
    <row r="30" spans="1:11" x14ac:dyDescent="0.3">
      <c r="A30" t="s">
        <v>43</v>
      </c>
    </row>
  </sheetData>
  <hyperlinks>
    <hyperlink ref="K19" r:id="rId1" display="https://fujitsu-my.sharepoint.com/:x:/p/ferdinand_baguyo/ETDp3bquMHVNm0PU76DtjXMBdwCTYM-2T7WHhCvPx4cG9Q?e=xa4ZYT" xr:uid="{2CD9E824-3275-4DD5-88B7-6821E5DCC389}"/>
  </hyperlinks>
  <pageMargins left="0.7" right="0.7" top="0.75" bottom="0.75" header="0.3" footer="0.3"/>
  <pageSetup paperSize="9" orientation="portrait" horizontalDpi="90" verticalDpi="90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CDCB0-848C-4070-A30D-DE1D162998D4}">
  <dimension ref="A1:F11"/>
  <sheetViews>
    <sheetView workbookViewId="0"/>
  </sheetViews>
  <sheetFormatPr defaultRowHeight="14.4" x14ac:dyDescent="0.3"/>
  <cols>
    <col min="1" max="1" width="5.33203125" customWidth="1"/>
    <col min="2" max="2" width="16.33203125" bestFit="1" customWidth="1"/>
    <col min="3" max="3" width="16.109375" customWidth="1"/>
    <col min="4" max="4" width="17.33203125" customWidth="1"/>
    <col min="5" max="5" width="6.109375" customWidth="1"/>
    <col min="6" max="6" width="15" customWidth="1"/>
  </cols>
  <sheetData>
    <row r="1" spans="1:6" x14ac:dyDescent="0.3">
      <c r="A1" s="5" t="s">
        <v>33</v>
      </c>
      <c r="B1" s="4" t="s">
        <v>34</v>
      </c>
      <c r="C1" s="4" t="s">
        <v>35</v>
      </c>
      <c r="D1" s="4" t="s">
        <v>36</v>
      </c>
      <c r="E1" s="4" t="s">
        <v>37</v>
      </c>
      <c r="F1" s="4" t="s">
        <v>38</v>
      </c>
    </row>
    <row r="2" spans="1:6" x14ac:dyDescent="0.3">
      <c r="A2">
        <f t="shared" ref="A2:A11" si="0">ROW()-1</f>
        <v>1</v>
      </c>
      <c r="B2" t="str">
        <f>_xlfn.CONCAT(Sheet1!A2,", ",Sheet1!B2)</f>
        <v>Villarino, Evan</v>
      </c>
      <c r="C2" t="str">
        <f>IF(LEN(Sheet1!C2)=11,Sheet1!C2,"")</f>
        <v>09686970912</v>
      </c>
      <c r="D2" t="str">
        <f>IF(LEN(Sheet1!C2)=8,Sheet1!C2,"")</f>
        <v/>
      </c>
      <c r="E2">
        <f ca="1">YEAR(TODAY())-YEAR(Sheet1!D2)</f>
        <v>38</v>
      </c>
      <c r="F2" t="str">
        <f t="shared" ref="F2:F11" ca="1" si="1">IF(E2&lt;=12,"Not Allowed","Allowed")</f>
        <v>Allowed</v>
      </c>
    </row>
    <row r="3" spans="1:6" x14ac:dyDescent="0.3">
      <c r="A3">
        <f t="shared" si="0"/>
        <v>2</v>
      </c>
      <c r="B3" t="str">
        <f>_xlfn.CONCAT(Sheet1!A3,", ",Sheet1!B3)</f>
        <v>Tumulak, Randy</v>
      </c>
      <c r="C3" t="str">
        <f>IF(LEN(Sheet1!C3)=11,Sheet1!C3,"")</f>
        <v>09454094948</v>
      </c>
      <c r="D3" t="str">
        <f>IF(LEN(Sheet1!C3)=8,Sheet1!C3,"")</f>
        <v/>
      </c>
      <c r="E3">
        <f ca="1">YEAR(TODAY())-YEAR(Sheet1!D3)</f>
        <v>21</v>
      </c>
      <c r="F3" t="str">
        <f t="shared" ca="1" si="1"/>
        <v>Allowed</v>
      </c>
    </row>
    <row r="4" spans="1:6" x14ac:dyDescent="0.3">
      <c r="A4">
        <f t="shared" si="0"/>
        <v>3</v>
      </c>
      <c r="B4" t="str">
        <f>_xlfn.CONCAT(Sheet1!A4,", ",Sheet1!B4)</f>
        <v>Chio, Fabian</v>
      </c>
      <c r="C4" t="str">
        <f>IF(LEN(Sheet1!C4)=11,Sheet1!C4,"")</f>
        <v/>
      </c>
      <c r="D4">
        <f>IF(LEN(Sheet1!C4)=8,Sheet1!C4,"")</f>
        <v>88443339</v>
      </c>
      <c r="E4">
        <f ca="1">YEAR(TODAY())-YEAR(Sheet1!D4)</f>
        <v>13</v>
      </c>
      <c r="F4" t="str">
        <f t="shared" ca="1" si="1"/>
        <v>Allowed</v>
      </c>
    </row>
    <row r="5" spans="1:6" x14ac:dyDescent="0.3">
      <c r="A5">
        <f t="shared" si="0"/>
        <v>4</v>
      </c>
      <c r="B5" t="str">
        <f>_xlfn.CONCAT(Sheet1!A5,", ",Sheet1!B5)</f>
        <v>Magsino, Collin</v>
      </c>
      <c r="C5" t="str">
        <f>IF(LEN(Sheet1!C5)=11,Sheet1!C5,"")</f>
        <v>09584649978</v>
      </c>
      <c r="D5" t="str">
        <f>IF(LEN(Sheet1!C5)=8,Sheet1!C5,"")</f>
        <v/>
      </c>
      <c r="E5">
        <f ca="1">YEAR(TODAY())-YEAR(Sheet1!D5)</f>
        <v>11</v>
      </c>
      <c r="F5" t="str">
        <f t="shared" ca="1" si="1"/>
        <v>Not Allowed</v>
      </c>
    </row>
    <row r="6" spans="1:6" x14ac:dyDescent="0.3">
      <c r="A6">
        <f t="shared" si="0"/>
        <v>5</v>
      </c>
      <c r="B6" t="str">
        <f>_xlfn.CONCAT(Sheet1!A6,", ",Sheet1!B6)</f>
        <v>Cuenco, Alexandro</v>
      </c>
      <c r="C6" t="str">
        <f>IF(LEN(Sheet1!C6)=11,Sheet1!C6,"")</f>
        <v/>
      </c>
      <c r="D6">
        <f>IF(LEN(Sheet1!C6)=8,Sheet1!C6,"")</f>
        <v>85489018</v>
      </c>
      <c r="E6">
        <f ca="1">YEAR(TODAY())-YEAR(Sheet1!D6)</f>
        <v>10</v>
      </c>
      <c r="F6" t="str">
        <f t="shared" ca="1" si="1"/>
        <v>Not Allowed</v>
      </c>
    </row>
    <row r="7" spans="1:6" x14ac:dyDescent="0.3">
      <c r="A7">
        <f t="shared" si="0"/>
        <v>6</v>
      </c>
      <c r="B7" t="str">
        <f>_xlfn.CONCAT(Sheet1!A7,", ",Sheet1!B7)</f>
        <v>Sibug, Sabana</v>
      </c>
      <c r="C7" t="str">
        <f>IF(LEN(Sheet1!C7)=11,Sheet1!C7,"")</f>
        <v/>
      </c>
      <c r="D7">
        <f>IF(LEN(Sheet1!C7)=8,Sheet1!C7,"")</f>
        <v>85597716</v>
      </c>
      <c r="E7">
        <f ca="1">YEAR(TODAY())-YEAR(Sheet1!D7)</f>
        <v>35</v>
      </c>
      <c r="F7" t="str">
        <f t="shared" ca="1" si="1"/>
        <v>Allowed</v>
      </c>
    </row>
    <row r="8" spans="1:6" x14ac:dyDescent="0.3">
      <c r="A8">
        <f t="shared" si="0"/>
        <v>7</v>
      </c>
      <c r="B8" t="str">
        <f>_xlfn.CONCAT(Sheet1!A8,", ",Sheet1!B8)</f>
        <v>Legaspí, Brigida</v>
      </c>
      <c r="C8" t="str">
        <f>IF(LEN(Sheet1!C8)=11,Sheet1!C8,"")</f>
        <v>09481818769</v>
      </c>
      <c r="D8" t="str">
        <f>IF(LEN(Sheet1!C8)=8,Sheet1!C8,"")</f>
        <v/>
      </c>
      <c r="E8">
        <f ca="1">YEAR(TODAY())-YEAR(Sheet1!D8)</f>
        <v>13</v>
      </c>
      <c r="F8" t="str">
        <f t="shared" ca="1" si="1"/>
        <v>Allowed</v>
      </c>
    </row>
    <row r="9" spans="1:6" x14ac:dyDescent="0.3">
      <c r="A9">
        <f t="shared" si="0"/>
        <v>8</v>
      </c>
      <c r="B9" t="str">
        <f>_xlfn.CONCAT(Sheet1!A9,", ",Sheet1!B9)</f>
        <v>Bontia, Allyson</v>
      </c>
      <c r="C9" t="str">
        <f>IF(LEN(Sheet1!C9)=11,Sheet1!C9,"")</f>
        <v>09312665607</v>
      </c>
      <c r="D9" t="str">
        <f>IF(LEN(Sheet1!C9)=8,Sheet1!C9,"")</f>
        <v/>
      </c>
      <c r="E9">
        <f ca="1">YEAR(TODAY())-YEAR(Sheet1!D9)</f>
        <v>21</v>
      </c>
      <c r="F9" t="str">
        <f t="shared" ca="1" si="1"/>
        <v>Allowed</v>
      </c>
    </row>
    <row r="10" spans="1:6" x14ac:dyDescent="0.3">
      <c r="A10">
        <f t="shared" si="0"/>
        <v>9</v>
      </c>
      <c r="B10" t="str">
        <f>_xlfn.CONCAT(Sheet1!A10,", ",Sheet1!B10)</f>
        <v>Rosales, Veronica</v>
      </c>
      <c r="C10" t="str">
        <f>IF(LEN(Sheet1!C10)=11,Sheet1!C10,"")</f>
        <v/>
      </c>
      <c r="D10">
        <f>IF(LEN(Sheet1!C10)=8,Sheet1!C10,"")</f>
        <v>86491824</v>
      </c>
      <c r="E10">
        <f ca="1">YEAR(TODAY())-YEAR(Sheet1!D10)</f>
        <v>42</v>
      </c>
      <c r="F10" t="str">
        <f t="shared" ca="1" si="1"/>
        <v>Allowed</v>
      </c>
    </row>
    <row r="11" spans="1:6" x14ac:dyDescent="0.3">
      <c r="A11">
        <f t="shared" si="0"/>
        <v>10</v>
      </c>
      <c r="B11" t="str">
        <f>_xlfn.CONCAT(Sheet1!A11,", ",Sheet1!B11)</f>
        <v>Cantillo, Diane</v>
      </c>
      <c r="C11" t="str">
        <f>IF(LEN(Sheet1!C11)=11,Sheet1!C11,"")</f>
        <v>09910326102</v>
      </c>
      <c r="D11" t="str">
        <f>IF(LEN(Sheet1!C11)=8,Sheet1!C11,"")</f>
        <v/>
      </c>
      <c r="E11">
        <f ca="1">YEAR(TODAY())-YEAR(Sheet1!D11)</f>
        <v>25</v>
      </c>
      <c r="F11" t="str">
        <f t="shared" ca="1" si="1"/>
        <v>Allowed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Vaccine Lists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Baguyo, Ferdinand</dc:creator>
  <cp:keywords/>
  <dc:description/>
  <cp:lastModifiedBy>Rota, Daisy Anne</cp:lastModifiedBy>
  <cp:revision/>
  <dcterms:created xsi:type="dcterms:W3CDTF">2022-02-04T00:10:10Z</dcterms:created>
  <dcterms:modified xsi:type="dcterms:W3CDTF">2023-03-24T05:20:39Z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a7295cc1-d279-42ac-ab4d-3b0f4fece050_Enabled">
    <vt:lpwstr>true</vt:lpwstr>
  </property>
  <property fmtid="{D5CDD505-2E9C-101B-9397-08002B2CF9AE}" pid="3" name="MSIP_Label_a7295cc1-d279-42ac-ab4d-3b0f4fece050_SetDate">
    <vt:lpwstr>2022-07-20T22:46:57Z</vt:lpwstr>
  </property>
  <property fmtid="{D5CDD505-2E9C-101B-9397-08002B2CF9AE}" pid="4" name="MSIP_Label_a7295cc1-d279-42ac-ab4d-3b0f4fece050_Method">
    <vt:lpwstr>Standard</vt:lpwstr>
  </property>
  <property fmtid="{D5CDD505-2E9C-101B-9397-08002B2CF9AE}" pid="5" name="MSIP_Label_a7295cc1-d279-42ac-ab4d-3b0f4fece050_Name">
    <vt:lpwstr>FUJITSU-RESTRICTED​</vt:lpwstr>
  </property>
  <property fmtid="{D5CDD505-2E9C-101B-9397-08002B2CF9AE}" pid="6" name="MSIP_Label_a7295cc1-d279-42ac-ab4d-3b0f4fece050_SiteId">
    <vt:lpwstr>a19f121d-81e1-4858-a9d8-736e267fd4c7</vt:lpwstr>
  </property>
  <property fmtid="{D5CDD505-2E9C-101B-9397-08002B2CF9AE}" pid="7" name="MSIP_Label_a7295cc1-d279-42ac-ab4d-3b0f4fece050_ActionId">
    <vt:lpwstr>043e7e63-5184-429e-a01c-852ee1fbf6b0</vt:lpwstr>
  </property>
  <property fmtid="{D5CDD505-2E9C-101B-9397-08002B2CF9AE}" pid="8" name="MSIP_Label_a7295cc1-d279-42ac-ab4d-3b0f4fece050_ContentBits">
    <vt:lpwstr>0</vt:lpwstr>
  </property>
</Properties>
</file>